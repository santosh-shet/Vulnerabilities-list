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CVEs'!$A$1:$T$105</definedName>
    <definedName name="_xlnm._FilterDatabase" localSheetId="2" hidden="1">'New Today'!$A$1:$T$100</definedName>
    <definedName name="_xlnm._FilterDatabase" localSheetId="3" hidden="1">'Significant Updates'!$A$1:$T$2</definedName>
    <definedName name="_xlnm._FilterDatabase" localSheetId="4" hidden="1">'Added to KEV'!$A$1:$T$5</definedName>
    <definedName name="_xlnm._FilterDatabase" localSheetId="5" hidden="1">'KEV - Exploited'!$A$1:$T$7</definedName>
    <definedName name="_xlnm._FilterDatabase" localSheetId="6" hidden="1">'Critical &amp; High'!$A$1:$T$42</definedName>
    <definedName name="_xlnm._FilterDatabase" localSheetId="7" hidden="1">'Watchlist'!$A$1:$T$5</definedName>
    <definedName name="_xlnm._FilterDatabase" localSheetId="8" hidden="1">'Packages (GHSA-OSV)'!$A$1:$T$10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 Type="http://schemas.openxmlformats.org/officeDocument/2006/relationships/hyperlink" Target="https://nvd.nist.gov/vuln/detail/CVE-2026-58704" TargetMode="External" Id="rId100" /><Relationship Type="http://schemas.openxmlformats.org/officeDocument/2006/relationships/hyperlink" Target="https://nvd.nist.gov/vuln/detail/CVE-2026-76460" TargetMode="External" Id="rId101" /><Relationship Type="http://schemas.openxmlformats.org/officeDocument/2006/relationships/hyperlink" Target="https://nvd.nist.gov/vuln/detail/CVE-2026-76461" TargetMode="External" Id="rId102" /><Relationship Type="http://schemas.openxmlformats.org/officeDocument/2006/relationships/hyperlink" Target="https://nvd.nist.gov/vuln/detail/CVE-2026-87886" TargetMode="External" Id="rId103" /><Relationship Type="http://schemas.openxmlformats.org/officeDocument/2006/relationships/hyperlink" Target="https://nvd.nist.gov/vuln/detail/CVE-2026-84869" TargetMode="External" Id="rId104"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s>
</file>

<file path=xl/worksheets/_rels/sheet4.xml.rels><Relationships xmlns="http://schemas.openxmlformats.org/package/2006/relationships"><Relationship Type="http://schemas.openxmlformats.org/officeDocument/2006/relationships/hyperlink" Target="https://nvd.nist.gov/vuln/detail/CVE-2026-84869" TargetMode="External" Id="rId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 Type="http://schemas.openxmlformats.org/officeDocument/2006/relationships/hyperlink" Target="https://nvd.nist.gov/vuln/detail/CVE-2026-87886" TargetMode="External" Id="rId5" /><Relationship Type="http://schemas.openxmlformats.org/officeDocument/2006/relationships/hyperlink" Target="https://nvd.nist.gov/vuln/detail/CVE-2026-84869" TargetMode="External" Id="rId6" /></Relationships>
</file>

<file path=xl/worksheets/_rels/sheet7.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58704" TargetMode="External" Id="rId40" /><Relationship Type="http://schemas.openxmlformats.org/officeDocument/2006/relationships/hyperlink" Target="https://nvd.nist.gov/vuln/detail/CVE-2026-84869" TargetMode="External" Id="rId41" /></Relationships>
</file>

<file path=xl/worksheets/_rels/sheet8.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7719"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s>
</file>

<file path=xl/worksheets/_rels/sheet9.xml.rels><Relationships xmlns="http://schemas.openxmlformats.org/package/2006/relationships"><Relationship Type="http://schemas.openxmlformats.org/officeDocument/2006/relationships/hyperlink" Target="https://nvd.nist.gov/vuln/detail/CVE-2026-90553" TargetMode="External" Id="rId1" /><Relationship Type="http://schemas.openxmlformats.org/officeDocument/2006/relationships/hyperlink" Target="https://osv.dev/vulnerability/MAL-2026-16142" TargetMode="External" Id="rId2" /><Relationship Type="http://schemas.openxmlformats.org/officeDocument/2006/relationships/hyperlink" Target="https://osv.dev/vulnerability/MAL-2026-16165" TargetMode="External" Id="rId3" /><Relationship Type="http://schemas.openxmlformats.org/officeDocument/2006/relationships/hyperlink" Target="https://osv.dev/vulnerability/MAL-2026-16166" TargetMode="External" Id="rId4" /><Relationship Type="http://schemas.openxmlformats.org/officeDocument/2006/relationships/hyperlink" Target="https://osv.dev/vulnerability/MAL-2026-16167" TargetMode="External" Id="rId5" /><Relationship Type="http://schemas.openxmlformats.org/officeDocument/2006/relationships/hyperlink" Target="https://osv.dev/vulnerability/MAL-2026-16168" TargetMode="External" Id="rId6" /><Relationship Type="http://schemas.openxmlformats.org/officeDocument/2006/relationships/hyperlink" Target="https://osv.dev/vulnerability/MAL-2026-16169" TargetMode="External" Id="rId7" /><Relationship Type="http://schemas.openxmlformats.org/officeDocument/2006/relationships/hyperlink" Target="https://osv.dev/vulnerability/MAL-2026-16170" TargetMode="External" Id="rId8" /><Relationship Type="http://schemas.openxmlformats.org/officeDocument/2006/relationships/hyperlink" Target="https://osv.dev/vulnerability/MAL-2026-16173" TargetMode="External" Id="rId9"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2026-09-12</t>
        </is>
      </c>
    </row>
    <row r="3">
      <c r="A3" s="2" t="inlineStr">
        <is>
          <t>Window (UTC)</t>
        </is>
      </c>
      <c r="B3" s="3" t="inlineStr">
        <is>
          <t>2026-09-12T00:00 to 2026-09-13T00:00</t>
        </is>
      </c>
    </row>
    <row r="4">
      <c r="A4" s="2" t="inlineStr">
        <is>
          <t>Generated</t>
        </is>
      </c>
      <c r="B4" s="3" t="inlineStr">
        <is>
          <t>2026-09-17 11:39:13 UTC</t>
        </is>
      </c>
    </row>
    <row r="5">
      <c r="A5" s="2" t="inlineStr"/>
      <c r="B5" s="3" t="inlineStr"/>
    </row>
    <row r="6">
      <c r="A6" s="2" t="inlineStr">
        <is>
          <t>Total entries</t>
        </is>
      </c>
      <c r="B6" s="3" t="n">
        <v>104</v>
      </c>
    </row>
    <row r="7">
      <c r="A7" s="2" t="inlineStr">
        <is>
          <t xml:space="preserve">  New - published today</t>
        </is>
      </c>
      <c r="B7" s="3" t="n">
        <v>99</v>
      </c>
    </row>
    <row r="8">
      <c r="A8" s="2" t="inlineStr">
        <is>
          <t xml:space="preserve">  Significant updates</t>
        </is>
      </c>
      <c r="B8" s="3" t="n">
        <v>1</v>
      </c>
    </row>
    <row r="9">
      <c r="A9" s="2" t="inlineStr">
        <is>
          <t xml:space="preserve">  Added to CISA KEV</t>
        </is>
      </c>
      <c r="B9" s="3" t="n">
        <v>4</v>
      </c>
    </row>
    <row r="10">
      <c r="A10" s="2" t="inlineStr">
        <is>
          <t>In CISA KEV</t>
        </is>
      </c>
      <c r="B10" s="3" t="n">
        <v>6</v>
      </c>
    </row>
    <row r="11">
      <c r="A11" s="2" t="inlineStr">
        <is>
          <t>Critical</t>
        </is>
      </c>
      <c r="B11" s="3" t="n">
        <v>14</v>
      </c>
    </row>
    <row r="12">
      <c r="A12" s="2" t="inlineStr">
        <is>
          <t>High</t>
        </is>
      </c>
      <c r="B12" s="3" t="n">
        <v>27</v>
      </c>
    </row>
    <row r="13">
      <c r="A13" s="2" t="inlineStr">
        <is>
          <t>Medium</t>
        </is>
      </c>
      <c r="B13" s="3" t="n">
        <v>48</v>
      </c>
    </row>
    <row r="14">
      <c r="A14" s="2" t="inlineStr">
        <is>
          <t>Low</t>
        </is>
      </c>
      <c r="B14" s="3" t="n">
        <v>4</v>
      </c>
    </row>
    <row r="15">
      <c r="A15" s="2" t="inlineStr">
        <is>
          <t>Unscored</t>
        </is>
      </c>
      <c r="B15" s="3" t="n">
        <v>11</v>
      </c>
    </row>
    <row r="16">
      <c r="A16" s="2" t="inlineStr">
        <is>
          <t>Watchlist matches</t>
        </is>
      </c>
      <c r="B16" s="3" t="n">
        <v>4</v>
      </c>
    </row>
    <row r="17">
      <c r="A17" s="2" t="inlineStr">
        <is>
          <t>From GitHub Advisories</t>
        </is>
      </c>
      <c r="B17" s="3" t="n">
        <v>0</v>
      </c>
    </row>
    <row r="18">
      <c r="A18" s="2" t="inlineStr">
        <is>
          <t>From OSV.dev</t>
        </is>
      </c>
      <c r="B18" s="3" t="n">
        <v>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row r="101">
      <c r="A101" s="5" t="inlineStr">
        <is>
          <t>P1 - Act now</t>
        </is>
      </c>
      <c r="B101" s="5" t="inlineStr">
        <is>
          <t>Added to KEV</t>
        </is>
      </c>
      <c r="C101" s="5" t="inlineStr">
        <is>
          <t>CVE-2026-58704</t>
        </is>
      </c>
      <c r="D101" s="5" t="n">
        <v>8.800000000000001</v>
      </c>
      <c r="E101" s="5" t="inlineStr">
        <is>
          <t>HIGH</t>
        </is>
      </c>
      <c r="F101" s="5" t="inlineStr">
        <is>
          <t>CISA-ADP</t>
        </is>
      </c>
      <c r="G101" s="5" t="inlineStr">
        <is>
          <t>Yes</t>
        </is>
      </c>
      <c r="H101" s="5" t="n">
        <v>0.001</v>
      </c>
      <c r="I101" s="5" t="inlineStr">
        <is>
          <t>active</t>
        </is>
      </c>
      <c r="J101" s="5" t="inlineStr"/>
      <c r="K101" s="5" t="inlineStr">
        <is>
          <t>google:pixel</t>
        </is>
      </c>
      <c r="L101" s="5" t="inlineStr"/>
      <c r="M101" s="5" t="inlineStr"/>
      <c r="N101" s="5" t="inlineStr">
        <is>
          <t>KEV, Vulnrichment</t>
        </is>
      </c>
      <c r="O101" s="5" t="inlineStr"/>
      <c r="P101" s="5" t="inlineStr"/>
      <c r="Q101" s="5" t="inlineStr">
        <is>
          <t>2026-09-19</t>
        </is>
      </c>
      <c r="R101" s="5" t="inlineStr">
        <is>
          <t>CWE-285, CWE-693</t>
        </is>
      </c>
      <c r="S101" s="5" t="inlineStr">
        <is>
          <t>Google Pixel devices contain an improper authorization vulnerability in the cellular modem. A logic error may allow an attacker to bypass permission checks and escalate privileges.</t>
        </is>
      </c>
      <c r="T101" s="6" t="inlineStr">
        <is>
          <t>https://nvd.nist.gov/vuln/detail/CVE-2026-58704</t>
        </is>
      </c>
    </row>
    <row r="102">
      <c r="A102" s="5" t="inlineStr">
        <is>
          <t>P1 - Act now</t>
        </is>
      </c>
      <c r="B102" s="5" t="inlineStr">
        <is>
          <t>Added to KEV</t>
        </is>
      </c>
      <c r="C102" s="5" t="inlineStr">
        <is>
          <t>CVE-2026-76460</t>
        </is>
      </c>
      <c r="D102" s="5" t="inlineStr"/>
      <c r="E102" s="5" t="inlineStr"/>
      <c r="F102" s="5" t="inlineStr"/>
      <c r="G102" s="5" t="inlineStr">
        <is>
          <t>Yes</t>
        </is>
      </c>
      <c r="H102" s="5" t="inlineStr"/>
      <c r="I102" s="5" t="inlineStr">
        <is>
          <t>active</t>
        </is>
      </c>
      <c r="J102" s="5" t="inlineStr">
        <is>
          <t>cisco</t>
        </is>
      </c>
      <c r="K102" s="5" t="inlineStr">
        <is>
          <t>cisco:identity services engine</t>
        </is>
      </c>
      <c r="L102" s="5" t="inlineStr"/>
      <c r="M102" s="5" t="inlineStr"/>
      <c r="N102" s="5" t="inlineStr">
        <is>
          <t>KEV, Vulnrichment</t>
        </is>
      </c>
      <c r="O102" s="5" t="inlineStr"/>
      <c r="P102" s="5" t="inlineStr"/>
      <c r="Q102" s="5" t="inlineStr">
        <is>
          <t>2026-09-19</t>
        </is>
      </c>
      <c r="R102" s="5" t="inlineStr"/>
      <c r="S10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2" s="6" t="inlineStr">
        <is>
          <t>https://nvd.nist.gov/vuln/detail/CVE-2026-76460</t>
        </is>
      </c>
    </row>
    <row r="103">
      <c r="A103" s="5" t="inlineStr">
        <is>
          <t>P1 - Act now</t>
        </is>
      </c>
      <c r="B103" s="5" t="inlineStr">
        <is>
          <t>Added to KEV</t>
        </is>
      </c>
      <c r="C103" s="5" t="inlineStr">
        <is>
          <t>CVE-2026-76461</t>
        </is>
      </c>
      <c r="D103" s="5" t="inlineStr"/>
      <c r="E103" s="5" t="inlineStr"/>
      <c r="F103" s="5" t="inlineStr"/>
      <c r="G103" s="5" t="inlineStr">
        <is>
          <t>Yes</t>
        </is>
      </c>
      <c r="H103" s="5" t="n">
        <v>0.02</v>
      </c>
      <c r="I103" s="5" t="inlineStr">
        <is>
          <t>active</t>
        </is>
      </c>
      <c r="J103" s="5" t="inlineStr">
        <is>
          <t>cisco</t>
        </is>
      </c>
      <c r="K103" s="5" t="inlineStr">
        <is>
          <t>cisco:secure email gateway</t>
        </is>
      </c>
      <c r="L103" s="5" t="inlineStr"/>
      <c r="M103" s="5" t="inlineStr"/>
      <c r="N103" s="5" t="inlineStr">
        <is>
          <t>KEV, Vulnrichment</t>
        </is>
      </c>
      <c r="O103" s="5" t="inlineStr"/>
      <c r="P103" s="5" t="inlineStr"/>
      <c r="Q103" s="5" t="inlineStr">
        <is>
          <t>2026-09-17</t>
        </is>
      </c>
      <c r="R103" s="5" t="inlineStr"/>
      <c r="S103" s="5" t="inlineStr">
        <is>
          <t>Cisco AsyncOS software for Cisco Secure Email Gateway (SEG) contains a SQL injection vulnerability that could allow an unauthenticated, remote attacker to execute arbitrary commands with root privileges on the underlying operating system.</t>
        </is>
      </c>
      <c r="T103" s="6" t="inlineStr">
        <is>
          <t>https://nvd.nist.gov/vuln/detail/CVE-2026-76461</t>
        </is>
      </c>
    </row>
    <row r="104">
      <c r="A104" s="5" t="inlineStr">
        <is>
          <t>P1 - Act now</t>
        </is>
      </c>
      <c r="B104" s="5" t="inlineStr">
        <is>
          <t>Added to KEV</t>
        </is>
      </c>
      <c r="C104" s="5" t="inlineStr">
        <is>
          <t>CVE-2026-87886</t>
        </is>
      </c>
      <c r="D104" s="5" t="inlineStr"/>
      <c r="E104" s="5" t="inlineStr"/>
      <c r="F104" s="5" t="inlineStr"/>
      <c r="G104" s="5" t="inlineStr">
        <is>
          <t>Yes</t>
        </is>
      </c>
      <c r="H104" s="5" t="inlineStr"/>
      <c r="I104" s="5" t="inlineStr"/>
      <c r="J104" s="5" t="inlineStr"/>
      <c r="K104" s="5" t="inlineStr">
        <is>
          <t>acronis:backup</t>
        </is>
      </c>
      <c r="L104" s="5" t="inlineStr"/>
      <c r="M104" s="5" t="inlineStr"/>
      <c r="N104" s="5" t="inlineStr">
        <is>
          <t>KEV</t>
        </is>
      </c>
      <c r="O104" s="5" t="inlineStr"/>
      <c r="P104" s="5" t="inlineStr"/>
      <c r="Q104" s="5" t="inlineStr">
        <is>
          <t>2026-09-19</t>
        </is>
      </c>
      <c r="R104" s="5" t="inlineStr"/>
      <c r="S104" s="5" t="inlineStr">
        <is>
          <t>Acronis Backup plugin for cPanel &amp; WHM and extension for Plesk contains an incorrect default permissions vulnerability that could allow for privilege escalation.</t>
        </is>
      </c>
      <c r="T104" s="6" t="inlineStr">
        <is>
          <t>https://nvd.nist.gov/vuln/detail/CVE-2026-87886</t>
        </is>
      </c>
    </row>
    <row r="105">
      <c r="A105" s="5" t="inlineStr">
        <is>
          <t>P1 - Act now</t>
        </is>
      </c>
      <c r="B105" s="5" t="inlineStr">
        <is>
          <t>Updated - CVSS added</t>
        </is>
      </c>
      <c r="C105" s="5" t="inlineStr">
        <is>
          <t>CVE-2026-84869</t>
        </is>
      </c>
      <c r="D105" s="5" t="n">
        <v>9.9</v>
      </c>
      <c r="E105" s="5" t="inlineStr">
        <is>
          <t>CRITICAL</t>
        </is>
      </c>
      <c r="F105" s="5" t="inlineStr">
        <is>
          <t>7d616e1a-3288-43b1-a0dd-0a65d3e70a49</t>
        </is>
      </c>
      <c r="G105" s="5" t="inlineStr">
        <is>
          <t>Yes</t>
        </is>
      </c>
      <c r="H105" s="5" t="n">
        <v>0.007</v>
      </c>
      <c r="I105" s="5" t="inlineStr"/>
      <c r="J105" s="5" t="inlineStr"/>
      <c r="K105" s="5" t="inlineStr">
        <is>
          <t>connectwise:screenconnect</t>
        </is>
      </c>
      <c r="L105" s="5" t="inlineStr"/>
      <c r="M105" s="5" t="inlineStr"/>
      <c r="N105" s="5" t="inlineStr">
        <is>
          <t>KEV, NVD</t>
        </is>
      </c>
      <c r="O105" s="5" t="inlineStr">
        <is>
          <t>2026-09-08</t>
        </is>
      </c>
      <c r="P105" s="5" t="inlineStr">
        <is>
          <t>2026-09-12</t>
        </is>
      </c>
      <c r="Q105" s="5" t="inlineStr">
        <is>
          <t>2026-09-14</t>
        </is>
      </c>
      <c r="R105" s="5" t="inlineStr">
        <is>
          <t>CWE-269, CWE-862</t>
        </is>
      </c>
      <c r="S105" s="5" t="inlineStr">
        <is>
          <t>A condition in the ScreenConnect client may allow files to be transferred and executed through an active remote session without authorization or Host confirmation in certain circumstances. ScreenConnect servers are not impacted.</t>
        </is>
      </c>
      <c r="T105" s="6" t="inlineStr">
        <is>
          <t>https://nvd.nist.gov/vuln/detail/CVE-2026-84869</t>
        </is>
      </c>
    </row>
  </sheetData>
  <autoFilter ref="A1:T105"/>
  <conditionalFormatting sqref="E2:E1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sheetData>
  <autoFilter ref="A1:T100"/>
  <conditionalFormatting sqref="E2:E1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row r="6">
      <c r="A6" s="5" t="inlineStr">
        <is>
          <t>P1 - Act now</t>
        </is>
      </c>
      <c r="B6" s="5" t="inlineStr">
        <is>
          <t>Added to KEV</t>
        </is>
      </c>
      <c r="C6" s="5" t="inlineStr">
        <is>
          <t>CVE-2026-87886</t>
        </is>
      </c>
      <c r="D6" s="5" t="inlineStr"/>
      <c r="E6" s="5" t="inlineStr"/>
      <c r="F6" s="5" t="inlineStr"/>
      <c r="G6" s="5" t="inlineStr">
        <is>
          <t>Yes</t>
        </is>
      </c>
      <c r="H6" s="5" t="inlineStr"/>
      <c r="I6" s="5" t="inlineStr"/>
      <c r="J6" s="5" t="inlineStr"/>
      <c r="K6" s="5" t="inlineStr">
        <is>
          <t>acronis:backup</t>
        </is>
      </c>
      <c r="L6" s="5" t="inlineStr"/>
      <c r="M6" s="5" t="inlineStr"/>
      <c r="N6" s="5" t="inlineStr">
        <is>
          <t>KEV</t>
        </is>
      </c>
      <c r="O6" s="5" t="inlineStr"/>
      <c r="P6" s="5" t="inlineStr"/>
      <c r="Q6" s="5" t="inlineStr">
        <is>
          <t>2026-09-19</t>
        </is>
      </c>
      <c r="R6" s="5" t="inlineStr"/>
      <c r="S6" s="5" t="inlineStr">
        <is>
          <t>Acronis Backup plugin for cPanel &amp; WHM and extension for Plesk contains an incorrect default permissions vulnerability that could allow for privilege escalation.</t>
        </is>
      </c>
      <c r="T6" s="6" t="inlineStr">
        <is>
          <t>https://nvd.nist.gov/vuln/detail/CVE-2026-87886</t>
        </is>
      </c>
    </row>
    <row r="7">
      <c r="A7" s="5" t="inlineStr">
        <is>
          <t>P1 - Act now</t>
        </is>
      </c>
      <c r="B7" s="5" t="inlineStr">
        <is>
          <t>Updated - CVSS added</t>
        </is>
      </c>
      <c r="C7" s="5" t="inlineStr">
        <is>
          <t>CVE-2026-84869</t>
        </is>
      </c>
      <c r="D7" s="5" t="n">
        <v>9.9</v>
      </c>
      <c r="E7" s="5" t="inlineStr">
        <is>
          <t>CRITICAL</t>
        </is>
      </c>
      <c r="F7" s="5" t="inlineStr">
        <is>
          <t>7d616e1a-3288-43b1-a0dd-0a65d3e70a49</t>
        </is>
      </c>
      <c r="G7" s="5" t="inlineStr">
        <is>
          <t>Yes</t>
        </is>
      </c>
      <c r="H7" s="5" t="n">
        <v>0.007</v>
      </c>
      <c r="I7" s="5" t="inlineStr"/>
      <c r="J7" s="5" t="inlineStr"/>
      <c r="K7" s="5" t="inlineStr">
        <is>
          <t>connectwise:screenconnect</t>
        </is>
      </c>
      <c r="L7" s="5" t="inlineStr"/>
      <c r="M7" s="5" t="inlineStr"/>
      <c r="N7" s="5" t="inlineStr">
        <is>
          <t>KEV, NVD</t>
        </is>
      </c>
      <c r="O7" s="5" t="inlineStr">
        <is>
          <t>2026-09-08</t>
        </is>
      </c>
      <c r="P7" s="5" t="inlineStr">
        <is>
          <t>2026-09-12</t>
        </is>
      </c>
      <c r="Q7" s="5" t="inlineStr">
        <is>
          <t>2026-09-14</t>
        </is>
      </c>
      <c r="R7" s="5" t="inlineStr">
        <is>
          <t>CWE-269, CWE-862</t>
        </is>
      </c>
      <c r="S7" s="5" t="inlineStr">
        <is>
          <t>A condition in the ScreenConnect client may allow files to be transferred and executed through an active remote session without authorization or Host confirmation in certain circumstances. ScreenConnect servers are not impacted.</t>
        </is>
      </c>
      <c r="T7" s="6" t="inlineStr">
        <is>
          <t>https://nvd.nist.gov/vuln/detail/CVE-2026-84869</t>
        </is>
      </c>
    </row>
  </sheetData>
  <autoFilter ref="A1:T7"/>
  <conditionalFormatting sqref="E2:E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P1 - Act now</t>
        </is>
      </c>
      <c r="B41" s="5" t="inlineStr">
        <is>
          <t>Added to KEV</t>
        </is>
      </c>
      <c r="C41" s="5" t="inlineStr">
        <is>
          <t>CVE-2026-58704</t>
        </is>
      </c>
      <c r="D41" s="5" t="n">
        <v>8.800000000000001</v>
      </c>
      <c r="E41" s="5" t="inlineStr">
        <is>
          <t>HIGH</t>
        </is>
      </c>
      <c r="F41" s="5" t="inlineStr">
        <is>
          <t>CISA-ADP</t>
        </is>
      </c>
      <c r="G41" s="5" t="inlineStr">
        <is>
          <t>Yes</t>
        </is>
      </c>
      <c r="H41" s="5" t="n">
        <v>0.001</v>
      </c>
      <c r="I41" s="5" t="inlineStr">
        <is>
          <t>active</t>
        </is>
      </c>
      <c r="J41" s="5" t="inlineStr"/>
      <c r="K41" s="5" t="inlineStr">
        <is>
          <t>google:pixel</t>
        </is>
      </c>
      <c r="L41" s="5" t="inlineStr"/>
      <c r="M41" s="5" t="inlineStr"/>
      <c r="N41" s="5" t="inlineStr">
        <is>
          <t>KEV, Vulnrichment</t>
        </is>
      </c>
      <c r="O41" s="5" t="inlineStr"/>
      <c r="P41" s="5" t="inlineStr"/>
      <c r="Q41" s="5" t="inlineStr">
        <is>
          <t>2026-09-19</t>
        </is>
      </c>
      <c r="R41" s="5" t="inlineStr">
        <is>
          <t>CWE-285, CWE-693</t>
        </is>
      </c>
      <c r="S41" s="5" t="inlineStr">
        <is>
          <t>Google Pixel devices contain an improper authorization vulnerability in the cellular modem. A logic error may allow an attacker to bypass permission checks and escalate privileges.</t>
        </is>
      </c>
      <c r="T41" s="6" t="inlineStr">
        <is>
          <t>https://nvd.nist.gov/vuln/detail/CVE-2026-58704</t>
        </is>
      </c>
    </row>
    <row r="42">
      <c r="A42" s="5" t="inlineStr">
        <is>
          <t>P1 - Act now</t>
        </is>
      </c>
      <c r="B42" s="5" t="inlineStr">
        <is>
          <t>Updated - CVSS added</t>
        </is>
      </c>
      <c r="C42" s="5" t="inlineStr">
        <is>
          <t>CVE-2026-84869</t>
        </is>
      </c>
      <c r="D42" s="5" t="n">
        <v>9.9</v>
      </c>
      <c r="E42" s="5" t="inlineStr">
        <is>
          <t>CRITICAL</t>
        </is>
      </c>
      <c r="F42" s="5" t="inlineStr">
        <is>
          <t>7d616e1a-3288-43b1-a0dd-0a65d3e70a49</t>
        </is>
      </c>
      <c r="G42" s="5" t="inlineStr">
        <is>
          <t>Yes</t>
        </is>
      </c>
      <c r="H42" s="5" t="n">
        <v>0.007</v>
      </c>
      <c r="I42" s="5" t="inlineStr"/>
      <c r="J42" s="5" t="inlineStr"/>
      <c r="K42" s="5" t="inlineStr">
        <is>
          <t>connectwise:screenconnect</t>
        </is>
      </c>
      <c r="L42" s="5" t="inlineStr"/>
      <c r="M42" s="5" t="inlineStr"/>
      <c r="N42" s="5" t="inlineStr">
        <is>
          <t>KEV, NVD</t>
        </is>
      </c>
      <c r="O42" s="5" t="inlineStr">
        <is>
          <t>2026-09-08</t>
        </is>
      </c>
      <c r="P42" s="5" t="inlineStr">
        <is>
          <t>2026-09-12</t>
        </is>
      </c>
      <c r="Q42" s="5" t="inlineStr">
        <is>
          <t>2026-09-14</t>
        </is>
      </c>
      <c r="R42" s="5" t="inlineStr">
        <is>
          <t>CWE-269, CWE-862</t>
        </is>
      </c>
      <c r="S42" s="5" t="inlineStr">
        <is>
          <t>A condition in the ScreenConnect client may allow files to be transferred and executed through an active remote session without authorization or Host confirmation in certain circumstances. ScreenConnect servers are not impacted.</t>
        </is>
      </c>
      <c r="T42" s="6" t="inlineStr">
        <is>
          <t>https://nvd.nist.gov/vuln/detail/CVE-2026-84869</t>
        </is>
      </c>
    </row>
  </sheetData>
  <autoFilter ref="A1:T42"/>
  <conditionalFormatting sqref="E2:E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CVE-2026-87719</t>
        </is>
      </c>
      <c r="D3" s="5" t="n">
        <v>9.9</v>
      </c>
      <c r="E3" s="5" t="inlineStr">
        <is>
          <t>CRITICAL</t>
        </is>
      </c>
      <c r="F3" s="5" t="inlineStr">
        <is>
          <t>cve@gitlab.com</t>
        </is>
      </c>
      <c r="G3" s="5" t="inlineStr"/>
      <c r="H3" s="5" t="n">
        <v>0.006</v>
      </c>
      <c r="I3" s="5" t="inlineStr"/>
      <c r="J3" s="5" t="inlineStr">
        <is>
          <t>gitlab</t>
        </is>
      </c>
      <c r="K3" s="5" t="inlineStr"/>
      <c r="L3" s="5" t="inlineStr"/>
      <c r="M3" s="5" t="inlineStr"/>
      <c r="N3" s="5" t="inlineStr">
        <is>
          <t>NVD</t>
        </is>
      </c>
      <c r="O3" s="5" t="inlineStr">
        <is>
          <t>2026-09-12</t>
        </is>
      </c>
      <c r="P3" s="5" t="inlineStr">
        <is>
          <t>2026-09-16</t>
        </is>
      </c>
      <c r="Q3" s="5" t="inlineStr"/>
      <c r="R3" s="5" t="inlineStr">
        <is>
          <t>CWE-502</t>
        </is>
      </c>
      <c r="S3"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3" s="6" t="inlineStr">
        <is>
          <t>https://nvd.nist.gov/vuln/detail/CVE-2026-87719</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CVE-2026-90553</t>
        </is>
      </c>
      <c r="D2" s="5" t="n">
        <v>8.5</v>
      </c>
      <c r="E2" s="5" t="inlineStr">
        <is>
          <t>HIGH</t>
        </is>
      </c>
      <c r="F2" s="5" t="inlineStr">
        <is>
          <t>disclosure@vulncheck.com</t>
        </is>
      </c>
      <c r="G2" s="5" t="inlineStr"/>
      <c r="H2" s="5" t="n">
        <v>0.002</v>
      </c>
      <c r="I2" s="5" t="inlineStr"/>
      <c r="J2" s="5" t="inlineStr"/>
      <c r="K2" s="5" t="inlineStr">
        <is>
          <t>vllm:vllm</t>
        </is>
      </c>
      <c r="L2" s="5" t="inlineStr">
        <is>
          <t>PyPI:vllm</t>
        </is>
      </c>
      <c r="M2" s="5" t="inlineStr">
        <is>
          <t>0.28.0</t>
        </is>
      </c>
      <c r="N2" s="5" t="inlineStr">
        <is>
          <t>NVD, OSV</t>
        </is>
      </c>
      <c r="O2" s="5" t="inlineStr">
        <is>
          <t>2026-09-12</t>
        </is>
      </c>
      <c r="P2" s="5" t="inlineStr">
        <is>
          <t>2026-09-16</t>
        </is>
      </c>
      <c r="Q2" s="5" t="inlineStr"/>
      <c r="R2" s="5" t="inlineStr">
        <is>
          <t>CWE-94</t>
        </is>
      </c>
      <c r="S2"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 s="6" t="inlineStr">
        <is>
          <t>https://nvd.nist.gov/vuln/detail/CVE-2026-90553</t>
        </is>
      </c>
    </row>
    <row r="3">
      <c r="A3" s="5" t="inlineStr">
        <is>
          <t>P4 - Low / Unscored</t>
        </is>
      </c>
      <c r="B3" s="5" t="inlineStr">
        <is>
          <t>New</t>
        </is>
      </c>
      <c r="C3" s="5" t="inlineStr">
        <is>
          <t>MAL-2026-16142</t>
        </is>
      </c>
      <c r="D3" s="5" t="inlineStr"/>
      <c r="E3" s="5" t="inlineStr"/>
      <c r="F3" s="5" t="inlineStr"/>
      <c r="G3" s="5" t="inlineStr"/>
      <c r="H3" s="5" t="inlineStr"/>
      <c r="I3" s="5" t="inlineStr"/>
      <c r="J3" s="5" t="inlineStr"/>
      <c r="K3" s="5" t="inlineStr"/>
      <c r="L3" s="5" t="inlineStr">
        <is>
          <t>PyPI:python-fork</t>
        </is>
      </c>
      <c r="M3" s="5" t="inlineStr"/>
      <c r="N3" s="5" t="inlineStr">
        <is>
          <t>OSV</t>
        </is>
      </c>
      <c r="O3" s="5" t="inlineStr">
        <is>
          <t>2026-09-12</t>
        </is>
      </c>
      <c r="P3" s="5" t="inlineStr">
        <is>
          <t>2026-09-12</t>
        </is>
      </c>
      <c r="Q3" s="5" t="inlineStr"/>
      <c r="R3" s="5" t="inlineStr"/>
      <c r="S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3" s="6" t="inlineStr">
        <is>
          <t>https://osv.dev/vulnerability/MAL-2026-16142</t>
        </is>
      </c>
    </row>
    <row r="4">
      <c r="A4" s="5" t="inlineStr">
        <is>
          <t>P4 - Low / Unscored</t>
        </is>
      </c>
      <c r="B4" s="5" t="inlineStr">
        <is>
          <t>New</t>
        </is>
      </c>
      <c r="C4" s="5" t="inlineStr">
        <is>
          <t>MAL-2026-16165</t>
        </is>
      </c>
      <c r="D4" s="5" t="inlineStr"/>
      <c r="E4" s="5" t="inlineStr"/>
      <c r="F4" s="5" t="inlineStr"/>
      <c r="G4" s="5" t="inlineStr"/>
      <c r="H4" s="5" t="inlineStr"/>
      <c r="I4" s="5" t="inlineStr"/>
      <c r="J4" s="5" t="inlineStr"/>
      <c r="K4" s="5" t="inlineStr"/>
      <c r="L4" s="5" t="inlineStr">
        <is>
          <t>npm:@biz44/id10-client</t>
        </is>
      </c>
      <c r="M4" s="5" t="inlineStr"/>
      <c r="N4" s="5" t="inlineStr">
        <is>
          <t>OSV</t>
        </is>
      </c>
      <c r="O4" s="5" t="inlineStr">
        <is>
          <t>2026-09-12</t>
        </is>
      </c>
      <c r="P4" s="5" t="inlineStr">
        <is>
          <t>2026-09-15</t>
        </is>
      </c>
      <c r="Q4" s="5" t="inlineStr"/>
      <c r="R4" s="5" t="inlineStr"/>
      <c r="S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4" s="6" t="inlineStr">
        <is>
          <t>https://osv.dev/vulnerability/MAL-2026-16165</t>
        </is>
      </c>
    </row>
    <row r="5">
      <c r="A5" s="5" t="inlineStr">
        <is>
          <t>P4 - Low / Unscored</t>
        </is>
      </c>
      <c r="B5" s="5" t="inlineStr">
        <is>
          <t>New</t>
        </is>
      </c>
      <c r="C5" s="5" t="inlineStr">
        <is>
          <t>MAL-2026-16166</t>
        </is>
      </c>
      <c r="D5" s="5" t="inlineStr"/>
      <c r="E5" s="5" t="inlineStr"/>
      <c r="F5" s="5" t="inlineStr"/>
      <c r="G5" s="5" t="inlineStr"/>
      <c r="H5" s="5" t="inlineStr"/>
      <c r="I5" s="5" t="inlineStr"/>
      <c r="J5" s="5" t="inlineStr"/>
      <c r="K5" s="5" t="inlineStr"/>
      <c r="L5" s="5" t="inlineStr">
        <is>
          <t>npm:@biz44/id12-client</t>
        </is>
      </c>
      <c r="M5" s="5" t="inlineStr"/>
      <c r="N5" s="5" t="inlineStr">
        <is>
          <t>OSV</t>
        </is>
      </c>
      <c r="O5" s="5" t="inlineStr">
        <is>
          <t>2026-09-12</t>
        </is>
      </c>
      <c r="P5" s="5" t="inlineStr">
        <is>
          <t>2026-09-15</t>
        </is>
      </c>
      <c r="Q5" s="5" t="inlineStr"/>
      <c r="R5" s="5" t="inlineStr"/>
      <c r="S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5" s="6" t="inlineStr">
        <is>
          <t>https://osv.dev/vulnerability/MAL-2026-16166</t>
        </is>
      </c>
    </row>
    <row r="6">
      <c r="A6" s="5" t="inlineStr">
        <is>
          <t>P4 - Low / Unscored</t>
        </is>
      </c>
      <c r="B6" s="5" t="inlineStr">
        <is>
          <t>New</t>
        </is>
      </c>
      <c r="C6" s="5" t="inlineStr">
        <is>
          <t>MAL-2026-16167</t>
        </is>
      </c>
      <c r="D6" s="5" t="inlineStr"/>
      <c r="E6" s="5" t="inlineStr"/>
      <c r="F6" s="5" t="inlineStr"/>
      <c r="G6" s="5" t="inlineStr"/>
      <c r="H6" s="5" t="inlineStr"/>
      <c r="I6" s="5" t="inlineStr"/>
      <c r="J6" s="5" t="inlineStr"/>
      <c r="K6" s="5" t="inlineStr"/>
      <c r="L6" s="5" t="inlineStr">
        <is>
          <t>npm:@biz44/id44-client</t>
        </is>
      </c>
      <c r="M6" s="5" t="inlineStr"/>
      <c r="N6" s="5" t="inlineStr">
        <is>
          <t>OSV</t>
        </is>
      </c>
      <c r="O6" s="5" t="inlineStr">
        <is>
          <t>2026-09-12</t>
        </is>
      </c>
      <c r="P6" s="5" t="inlineStr">
        <is>
          <t>2026-09-15</t>
        </is>
      </c>
      <c r="Q6" s="5" t="inlineStr"/>
      <c r="R6" s="5" t="inlineStr"/>
      <c r="S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6" s="6" t="inlineStr">
        <is>
          <t>https://osv.dev/vulnerability/MAL-2026-16167</t>
        </is>
      </c>
    </row>
    <row r="7">
      <c r="A7" s="5" t="inlineStr">
        <is>
          <t>P4 - Low / Unscored</t>
        </is>
      </c>
      <c r="B7" s="5" t="inlineStr">
        <is>
          <t>New</t>
        </is>
      </c>
      <c r="C7" s="5" t="inlineStr">
        <is>
          <t>MAL-2026-16168</t>
        </is>
      </c>
      <c r="D7" s="5" t="inlineStr"/>
      <c r="E7" s="5" t="inlineStr"/>
      <c r="F7" s="5" t="inlineStr"/>
      <c r="G7" s="5" t="inlineStr"/>
      <c r="H7" s="5" t="inlineStr"/>
      <c r="I7" s="5" t="inlineStr"/>
      <c r="J7" s="5" t="inlineStr"/>
      <c r="K7" s="5" t="inlineStr"/>
      <c r="L7" s="5" t="inlineStr">
        <is>
          <t>npm:@biz44/id79-client</t>
        </is>
      </c>
      <c r="M7" s="5" t="inlineStr"/>
      <c r="N7" s="5" t="inlineStr">
        <is>
          <t>OSV</t>
        </is>
      </c>
      <c r="O7" s="5" t="inlineStr">
        <is>
          <t>2026-09-12</t>
        </is>
      </c>
      <c r="P7" s="5" t="inlineStr">
        <is>
          <t>2026-09-15</t>
        </is>
      </c>
      <c r="Q7" s="5" t="inlineStr"/>
      <c r="R7" s="5" t="inlineStr"/>
      <c r="S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7" s="6" t="inlineStr">
        <is>
          <t>https://osv.dev/vulnerability/MAL-2026-16168</t>
        </is>
      </c>
    </row>
    <row r="8">
      <c r="A8" s="5" t="inlineStr">
        <is>
          <t>P4 - Low / Unscored</t>
        </is>
      </c>
      <c r="B8" s="5" t="inlineStr">
        <is>
          <t>New</t>
        </is>
      </c>
      <c r="C8" s="5" t="inlineStr">
        <is>
          <t>MAL-2026-16169</t>
        </is>
      </c>
      <c r="D8" s="5" t="inlineStr"/>
      <c r="E8" s="5" t="inlineStr"/>
      <c r="F8" s="5" t="inlineStr"/>
      <c r="G8" s="5" t="inlineStr"/>
      <c r="H8" s="5" t="inlineStr"/>
      <c r="I8" s="5" t="inlineStr"/>
      <c r="J8" s="5" t="inlineStr"/>
      <c r="K8" s="5" t="inlineStr"/>
      <c r="L8" s="5" t="inlineStr">
        <is>
          <t>npm:@biz44/id95-client</t>
        </is>
      </c>
      <c r="M8" s="5" t="inlineStr"/>
      <c r="N8" s="5" t="inlineStr">
        <is>
          <t>OSV</t>
        </is>
      </c>
      <c r="O8" s="5" t="inlineStr">
        <is>
          <t>2026-09-12</t>
        </is>
      </c>
      <c r="P8" s="5" t="inlineStr">
        <is>
          <t>2026-09-15</t>
        </is>
      </c>
      <c r="Q8" s="5" t="inlineStr"/>
      <c r="R8" s="5" t="inlineStr"/>
      <c r="S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 s="6" t="inlineStr">
        <is>
          <t>https://osv.dev/vulnerability/MAL-2026-16169</t>
        </is>
      </c>
    </row>
    <row r="9">
      <c r="A9" s="5" t="inlineStr">
        <is>
          <t>P4 - Low / Unscored</t>
        </is>
      </c>
      <c r="B9" s="5" t="inlineStr">
        <is>
          <t>New</t>
        </is>
      </c>
      <c r="C9" s="5" t="inlineStr">
        <is>
          <t>MAL-2026-16170</t>
        </is>
      </c>
      <c r="D9" s="5" t="inlineStr"/>
      <c r="E9" s="5" t="inlineStr"/>
      <c r="F9" s="5" t="inlineStr"/>
      <c r="G9" s="5" t="inlineStr"/>
      <c r="H9" s="5" t="inlineStr"/>
      <c r="I9" s="5" t="inlineStr"/>
      <c r="J9" s="5" t="inlineStr"/>
      <c r="K9" s="5" t="inlineStr"/>
      <c r="L9" s="5" t="inlineStr">
        <is>
          <t>npm:@biz44/id99-client</t>
        </is>
      </c>
      <c r="M9" s="5" t="inlineStr"/>
      <c r="N9" s="5" t="inlineStr">
        <is>
          <t>OSV</t>
        </is>
      </c>
      <c r="O9" s="5" t="inlineStr">
        <is>
          <t>2026-09-12</t>
        </is>
      </c>
      <c r="P9" s="5" t="inlineStr">
        <is>
          <t>2026-09-15</t>
        </is>
      </c>
      <c r="Q9" s="5" t="inlineStr"/>
      <c r="R9" s="5" t="inlineStr"/>
      <c r="S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 s="6" t="inlineStr">
        <is>
          <t>https://osv.dev/vulnerability/MAL-2026-16170</t>
        </is>
      </c>
    </row>
    <row r="10">
      <c r="A10" s="5" t="inlineStr">
        <is>
          <t>P4 - Low / Unscored</t>
        </is>
      </c>
      <c r="B10" s="5" t="inlineStr">
        <is>
          <t>New</t>
        </is>
      </c>
      <c r="C10" s="5" t="inlineStr">
        <is>
          <t>MAL-2026-16173</t>
        </is>
      </c>
      <c r="D10" s="5" t="inlineStr"/>
      <c r="E10" s="5" t="inlineStr"/>
      <c r="F10" s="5" t="inlineStr"/>
      <c r="G10" s="5" t="inlineStr"/>
      <c r="H10" s="5" t="inlineStr"/>
      <c r="I10" s="5" t="inlineStr"/>
      <c r="J10" s="5" t="inlineStr"/>
      <c r="K10" s="5" t="inlineStr"/>
      <c r="L10" s="5" t="inlineStr">
        <is>
          <t>npm:id79-client</t>
        </is>
      </c>
      <c r="M10" s="5" t="inlineStr"/>
      <c r="N10" s="5" t="inlineStr">
        <is>
          <t>OSV</t>
        </is>
      </c>
      <c r="O10" s="5" t="inlineStr">
        <is>
          <t>2026-09-12</t>
        </is>
      </c>
      <c r="P10" s="5" t="inlineStr">
        <is>
          <t>2026-09-16</t>
        </is>
      </c>
      <c r="Q10" s="5" t="inlineStr"/>
      <c r="R10" s="5" t="inlineStr"/>
      <c r="S1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 s="6" t="inlineStr">
        <is>
          <t>https://osv.dev/vulnerability/MAL-2026-16173</t>
        </is>
      </c>
    </row>
  </sheetData>
  <autoFilter ref="A1:T10"/>
  <conditionalFormatting sqref="E2:E1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2026-09-17T11:39:14Z</dcterms:created>
  <dcterms:modified xsi:type="dcterms:W3CDTF">2026-09-17T11:39:14Z</dcterms:modified>
</cp:coreProperties>
</file>